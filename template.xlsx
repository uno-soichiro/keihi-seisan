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旅費交通費" sheetId="1" r:id="rId5"/>
    <sheet state="visible" name="その他" sheetId="2" r:id="rId6"/>
  </sheets>
  <definedNames/>
  <calcPr/>
</workbook>
</file>

<file path=xl/sharedStrings.xml><?xml version="1.0" encoding="utf-8"?>
<sst xmlns="http://schemas.openxmlformats.org/spreadsheetml/2006/main" count="83" uniqueCount="40">
  <si>
    <t>旅費交通費精算書</t>
  </si>
  <si>
    <t>提出日</t>
  </si>
  <si>
    <t>部長</t>
  </si>
  <si>
    <t>マネージャー</t>
  </si>
  <si>
    <t>所属長</t>
  </si>
  <si>
    <t>精算者</t>
  </si>
  <si>
    <t>株式会社UNO-HOLDINGS</t>
  </si>
  <si>
    <t>名前</t>
  </si>
  <si>
    <t>宇野想一郎</t>
  </si>
  <si>
    <t>印</t>
  </si>
  <si>
    <t>領収書等添付枚数</t>
  </si>
  <si>
    <t>請求金額</t>
  </si>
  <si>
    <t>（①-②）</t>
  </si>
  <si>
    <t>No</t>
  </si>
  <si>
    <t>日付</t>
  </si>
  <si>
    <t>金額</t>
  </si>
  <si>
    <t>分類</t>
  </si>
  <si>
    <t xml:space="preserve">摘要																					</t>
  </si>
  <si>
    <t>経路</t>
  </si>
  <si>
    <t>旅費</t>
  </si>
  <si>
    <t>2/3 結唯施主定例</t>
  </si>
  <si>
    <t>品川→熱海</t>
  </si>
  <si>
    <t>熱海→品川</t>
  </si>
  <si>
    <t>2/6 神立視察</t>
  </si>
  <si>
    <t>東京→越後湯沢</t>
  </si>
  <si>
    <t>越後湯沢→東京</t>
  </si>
  <si>
    <t>2/11 神立視察</t>
  </si>
  <si>
    <t>交通費</t>
  </si>
  <si>
    <t>タクシー</t>
  </si>
  <si>
    <t>2/16 神立視察</t>
  </si>
  <si>
    <t>2/24 結唯施主定例</t>
  </si>
  <si>
    <t>2/25 アースボートみなかみ宝台樹視察</t>
  </si>
  <si>
    <t>合計①</t>
  </si>
  <si>
    <t>仮払精算金額②</t>
  </si>
  <si>
    <t>仮払年月日</t>
  </si>
  <si>
    <t>小口経費精算書</t>
  </si>
  <si>
    <t xml:space="preserve">購入品目・勘定科目等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</si>
  <si>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摘要・相手先</t>
  </si>
  <si>
    <t>接待交際費</t>
  </si>
  <si>
    <t>神立スノーリゾート斉木、田村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</si>
</sst>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[$¥-411]#,##0"/>
    <numFmt numFmtId="166" formatCode="m/d"/>
  </numFmts>
  <fonts count="15">
    <font>
      <sz val="10.0"/>
      <color rgb="FF000000"/>
      <name val="Arial"/>
      <scheme val="minor"/>
    </font>
    <font>
      <sz val="11.0"/>
      <color theme="1"/>
      <name val="&quot;ＭＳ Ｐゴシック&quot;"/>
    </font>
    <font>
      <sz val="10.0"/>
      <color theme="1"/>
      <name val="&quot;ＭＳ Ｐゴシック&quot;"/>
    </font>
    <font>
      <sz val="19.0"/>
      <color theme="1"/>
      <name val="&quot;ＭＳ Ｐゴシック&quot;"/>
    </font>
    <font>
      <sz val="22.0"/>
      <color theme="1"/>
      <name val="&quot;ＭＳ Ｐゴシック&quot;"/>
    </font>
    <font>
      <color theme="1"/>
      <name val="&quot;ＭＳ Ｐゴシック&quot;"/>
    </font>
    <font>
      <color theme="1"/>
      <name val="Arial"/>
      <scheme val="minor"/>
    </font>
    <font>
      <b/>
      <sz val="11.0"/>
      <color theme="1"/>
      <name val="&quot;ＭＳ Ｐゴシック&quot;"/>
    </font>
    <font>
      <sz val="12.0"/>
      <color theme="1"/>
      <name val="&quot;ＭＳ Ｐゴシック&quot;"/>
    </font>
    <font>
      <b/>
      <sz val="13.0"/>
      <color theme="1"/>
      <name val="&quot;ＭＳ Ｐゴシック&quot;"/>
    </font>
    <font>
      <sz val="8.0"/>
      <color theme="1"/>
      <name val="&quot;ＭＳ Ｐゴシック&quot;"/>
    </font>
    <font>
      <sz val="13.0"/>
      <color theme="1"/>
      <name val="&quot;ＭＳ Ｐゴシック&quot;"/>
    </font>
    <font>
      <b/>
      <sz val="10.0"/>
      <color theme="1"/>
      <name val="&quot;ＭＳ Ｐゴシック&quot;"/>
    </font>
    <font>
      <b/>
      <color theme="1"/>
      <name val="&quot;ＭＳ Ｐゴシック&quot;"/>
    </font>
    <font>
      <sz val="9.0"/>
      <color theme="1"/>
      <name val="&quot;ＭＳ Ｐゴシック&quot;"/>
    </font>
  </fonts>
  <fills count="2">
    <fill>
      <patternFill patternType="none"/>
    </fill>
    <fill>
      <patternFill patternType="lightGray"/>
    </fill>
  </fills>
  <borders count="21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center" shrinkToFit="0" wrapText="0"/>
    </xf>
    <xf borderId="4" fillId="0" fontId="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left" readingOrder="0" shrinkToFit="0" wrapText="0"/>
    </xf>
    <xf borderId="6" fillId="0" fontId="6" numFmtId="0" xfId="0" applyBorder="1" applyFont="1"/>
    <xf borderId="7" fillId="0" fontId="5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center" shrinkToFit="0" wrapText="0"/>
    </xf>
    <xf borderId="7" fillId="0" fontId="4" numFmtId="0" xfId="0" applyAlignment="1" applyBorder="1" applyFont="1">
      <alignment horizontal="center" shrinkToFit="0" wrapText="0"/>
    </xf>
    <xf borderId="8" fillId="0" fontId="4" numFmtId="0" xfId="0" applyAlignment="1" applyBorder="1" applyFont="1">
      <alignment horizontal="center" shrinkToFit="0" wrapText="0"/>
    </xf>
    <xf borderId="9" fillId="0" fontId="6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left" readingOrder="0" vertical="top"/>
    </xf>
    <xf borderId="10" fillId="0" fontId="5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left" readingOrder="0" shrinkToFit="0" wrapText="0"/>
    </xf>
    <xf borderId="6" fillId="0" fontId="7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 shrinkToFit="0" wrapText="0"/>
    </xf>
    <xf borderId="5" fillId="0" fontId="9" numFmtId="0" xfId="0" applyAlignment="1" applyBorder="1" applyFont="1">
      <alignment horizontal="left" readingOrder="0" shrinkToFit="0" wrapText="0"/>
    </xf>
    <xf borderId="7" fillId="0" fontId="10" numFmtId="0" xfId="0" applyAlignment="1" applyBorder="1" applyFont="1">
      <alignment horizontal="left" readingOrder="0" shrinkToFit="0" wrapText="0"/>
    </xf>
    <xf borderId="6" fillId="0" fontId="11" numFmtId="165" xfId="0" applyAlignment="1" applyBorder="1" applyFont="1" applyNumberFormat="1">
      <alignment horizontal="left" readingOrder="0" shrinkToFit="0" wrapText="0"/>
    </xf>
    <xf borderId="6" fillId="0" fontId="5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shrinkToFit="0" wrapText="0"/>
    </xf>
    <xf borderId="7" fillId="0" fontId="5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6" fillId="0" fontId="13" numFmtId="0" xfId="0" applyAlignment="1" applyBorder="1" applyFont="1">
      <alignment horizontal="left" shrinkToFit="0" vertical="bottom" wrapText="0"/>
    </xf>
    <xf borderId="7" fillId="0" fontId="13" numFmtId="0" xfId="0" applyAlignment="1" applyBorder="1" applyFont="1">
      <alignment horizontal="left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12" fillId="0" fontId="2" numFmtId="0" xfId="0" applyAlignment="1" applyBorder="1" applyFont="1">
      <alignment horizontal="left" readingOrder="0" shrinkToFit="0" vertical="bottom" wrapText="0"/>
    </xf>
    <xf borderId="12" fillId="0" fontId="5" numFmtId="166" xfId="0" applyAlignment="1" applyBorder="1" applyFont="1" applyNumberFormat="1">
      <alignment horizontal="left" readingOrder="0" shrinkToFit="0" wrapText="0"/>
    </xf>
    <xf borderId="13" fillId="0" fontId="5" numFmtId="165" xfId="0" applyAlignment="1" applyBorder="1" applyFont="1" applyNumberFormat="1">
      <alignment horizontal="left" readingOrder="0" shrinkToFit="0" wrapText="0"/>
    </xf>
    <xf borderId="13" fillId="0" fontId="5" numFmtId="0" xfId="0" applyAlignment="1" applyBorder="1" applyFont="1">
      <alignment horizontal="left" readingOrder="0" shrinkToFit="0" wrapText="0"/>
    </xf>
    <xf borderId="13" fillId="0" fontId="5" numFmtId="0" xfId="0" applyAlignment="1" applyBorder="1" applyFont="1">
      <alignment horizontal="center" shrinkToFit="0" wrapText="0"/>
    </xf>
    <xf borderId="14" fillId="0" fontId="5" numFmtId="0" xfId="0" applyAlignment="1" applyBorder="1" applyFont="1">
      <alignment horizontal="center" shrinkToFit="0" wrapText="0"/>
    </xf>
    <xf borderId="15" fillId="0" fontId="2" numFmtId="0" xfId="0" applyAlignment="1" applyBorder="1" applyFont="1">
      <alignment horizontal="left" readingOrder="0" shrinkToFit="0" vertical="bottom" wrapText="0"/>
    </xf>
    <xf borderId="13" fillId="0" fontId="6" numFmtId="0" xfId="0" applyBorder="1" applyFont="1"/>
    <xf borderId="14" fillId="0" fontId="6" numFmtId="0" xfId="0" applyBorder="1" applyFont="1"/>
    <xf borderId="13" fillId="0" fontId="2" numFmtId="0" xfId="0" applyAlignment="1" applyBorder="1" applyFont="1">
      <alignment horizontal="left" readingOrder="0" shrinkToFit="0" vertical="bottom" wrapText="0"/>
    </xf>
    <xf borderId="13" fillId="0" fontId="5" numFmtId="166" xfId="0" applyAlignment="1" applyBorder="1" applyFont="1" applyNumberFormat="1">
      <alignment horizontal="left" readingOrder="0" shrinkToFit="0" wrapText="0"/>
    </xf>
    <xf borderId="5" fillId="0" fontId="12" numFmtId="0" xfId="0" applyAlignment="1" applyBorder="1" applyFont="1">
      <alignment horizontal="lef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0" fontId="12" numFmtId="165" xfId="0" applyAlignment="1" applyBorder="1" applyFont="1" applyNumberFormat="1">
      <alignment horizontal="left" readingOrder="0" shrinkToFit="0" wrapText="0"/>
    </xf>
    <xf borderId="6" fillId="0" fontId="7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center" shrinkToFit="0" wrapText="0"/>
    </xf>
    <xf borderId="7" fillId="0" fontId="5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 shrinkToFit="0" wrapText="0"/>
    </xf>
    <xf borderId="16" fillId="0" fontId="5" numFmtId="0" xfId="0" applyAlignment="1" applyBorder="1" applyFont="1">
      <alignment horizontal="left" readingOrder="0" shrinkToFit="0" wrapText="0"/>
    </xf>
    <xf borderId="17" fillId="0" fontId="5" numFmtId="0" xfId="0" applyAlignment="1" applyBorder="1" applyFont="1">
      <alignment horizontal="left" readingOrder="0" shrinkToFit="0" wrapText="0"/>
    </xf>
    <xf borderId="18" fillId="0" fontId="5" numFmtId="0" xfId="0" applyAlignment="1" applyBorder="1" applyFont="1">
      <alignment horizontal="left" readingOrder="0" shrinkToFit="0" wrapText="0"/>
    </xf>
    <xf borderId="17" fillId="0" fontId="5" numFmtId="165" xfId="0" applyAlignment="1" applyBorder="1" applyFont="1" applyNumberForma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17" fillId="0" fontId="7" numFmtId="0" xfId="0" applyAlignment="1" applyBorder="1" applyFont="1">
      <alignment horizontal="left" readingOrder="0" shrinkToFit="0" wrapText="0"/>
    </xf>
    <xf borderId="18" fillId="0" fontId="7" numFmtId="0" xfId="0" applyAlignment="1" applyBorder="1" applyFont="1">
      <alignment horizontal="left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6" fillId="0" fontId="5" numFmtId="165" xfId="0" applyAlignment="1" applyBorder="1" applyFont="1" applyNumberFormat="1">
      <alignment horizontal="left" readingOrder="0" shrinkToFit="0" wrapText="0"/>
    </xf>
    <xf borderId="16" fillId="0" fontId="2" numFmtId="0" xfId="0" applyAlignment="1" applyBorder="1" applyFont="1">
      <alignment horizontal="center" readingOrder="0" shrinkToFit="0" wrapText="0"/>
    </xf>
    <xf borderId="16" fillId="0" fontId="4" numFmtId="0" xfId="0" applyAlignment="1" applyBorder="1" applyFont="1">
      <alignment horizontal="center" shrinkToFit="0" wrapText="0"/>
    </xf>
    <xf borderId="5" fillId="0" fontId="6" numFmtId="0" xfId="0" applyAlignment="1" applyBorder="1" applyFont="1">
      <alignment readingOrder="0" vertical="center"/>
    </xf>
    <xf borderId="6" fillId="0" fontId="5" numFmtId="0" xfId="0" applyAlignment="1" applyBorder="1" applyFont="1">
      <alignment horizontal="left" readingOrder="0" vertical="top"/>
    </xf>
    <xf borderId="7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readingOrder="0"/>
    </xf>
    <xf borderId="15" fillId="0" fontId="5" numFmtId="166" xfId="0" applyAlignment="1" applyBorder="1" applyFont="1" applyNumberFormat="1">
      <alignment horizontal="left" readingOrder="0" shrinkToFit="0" wrapText="0"/>
    </xf>
    <xf borderId="13" fillId="0" fontId="5" numFmtId="0" xfId="0" applyAlignment="1" applyBorder="1" applyFont="1">
      <alignment horizontal="center" readingOrder="0" shrinkToFit="0" wrapText="0"/>
    </xf>
    <xf borderId="14" fillId="0" fontId="5" numFmtId="0" xfId="0" applyAlignment="1" applyBorder="1" applyFont="1">
      <alignment horizontal="center" readingOrder="0" shrinkToFit="0" wrapText="0"/>
    </xf>
    <xf borderId="15" fillId="0" fontId="5" numFmtId="165" xfId="0" applyAlignment="1" applyBorder="1" applyFont="1" applyNumberFormat="1">
      <alignment horizontal="left" readingOrder="0" shrinkToFit="0" wrapText="0"/>
    </xf>
    <xf borderId="13" fillId="0" fontId="5" numFmtId="0" xfId="0" applyAlignment="1" applyBorder="1" applyFont="1">
      <alignment horizontal="left" readingOrder="0" shrinkToFit="0" vertical="bottom" wrapText="0"/>
    </xf>
    <xf borderId="13" fillId="0" fontId="14" numFmtId="0" xfId="0" applyAlignment="1" applyBorder="1" applyFont="1">
      <alignment horizontal="center" shrinkToFit="0" wrapText="0"/>
    </xf>
    <xf borderId="13" fillId="0" fontId="14" numFmtId="0" xfId="0" applyAlignment="1" applyBorder="1" applyFont="1">
      <alignment horizontal="center" readingOrder="0" shrinkToFit="0" wrapText="0"/>
    </xf>
    <xf borderId="13" fillId="0" fontId="14" numFmtId="0" xfId="0" applyAlignment="1" applyBorder="1" applyFont="1">
      <alignment horizontal="left" shrinkToFit="0" wrapText="0"/>
    </xf>
    <xf borderId="13" fillId="0" fontId="2" numFmtId="0" xfId="0" applyAlignment="1" applyBorder="1" applyFont="1">
      <alignment horizontal="center" readingOrder="0" shrinkToFit="0" wrapText="0"/>
    </xf>
    <xf borderId="12" fillId="0" fontId="1" numFmtId="0" xfId="0" applyAlignment="1" applyBorder="1" applyFont="1">
      <alignment horizontal="center" readingOrder="0" shrinkToFit="0" wrapText="0"/>
    </xf>
    <xf borderId="12" fillId="0" fontId="14" numFmtId="0" xfId="0" applyAlignment="1" applyBorder="1" applyFont="1">
      <alignment horizontal="center" shrinkToFit="0" wrapText="0"/>
    </xf>
    <xf borderId="12" fillId="0" fontId="14" numFmtId="0" xfId="0" applyAlignment="1" applyBorder="1" applyFont="1">
      <alignment horizontal="left" shrinkToFit="0" wrapText="0"/>
    </xf>
    <xf borderId="12" fillId="0" fontId="5" numFmtId="0" xfId="0" applyAlignment="1" applyBorder="1" applyFont="1">
      <alignment horizontal="center" shrinkToFit="0" wrapText="0"/>
    </xf>
    <xf borderId="19" fillId="0" fontId="5" numFmtId="0" xfId="0" applyAlignment="1" applyBorder="1" applyFont="1">
      <alignment horizontal="center" shrinkToFit="0" wrapText="0"/>
    </xf>
    <xf borderId="20" fillId="0" fontId="5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.88"/>
    <col customWidth="1" min="3" max="3" width="8.63"/>
    <col customWidth="1" min="4" max="4" width="1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6" t="s">
        <v>1</v>
      </c>
      <c r="C4" s="7"/>
      <c r="D4" s="8">
        <v>46083.0</v>
      </c>
      <c r="E4" s="9"/>
      <c r="F4" s="9"/>
      <c r="G4" s="9"/>
      <c r="H4" s="9"/>
      <c r="I4" s="9"/>
      <c r="J4" s="10" t="s">
        <v>2</v>
      </c>
      <c r="K4" s="10" t="s">
        <v>3</v>
      </c>
      <c r="L4" s="10" t="s">
        <v>4</v>
      </c>
    </row>
    <row r="5">
      <c r="A5" s="11" t="s">
        <v>5</v>
      </c>
      <c r="B5" s="12"/>
      <c r="C5" s="13"/>
      <c r="D5" s="14" t="s">
        <v>6</v>
      </c>
      <c r="E5" s="15"/>
      <c r="F5" s="15"/>
      <c r="G5" s="15"/>
      <c r="H5" s="15"/>
      <c r="I5" s="16"/>
      <c r="J5" s="17"/>
      <c r="K5" s="17"/>
      <c r="L5" s="17"/>
    </row>
    <row r="6" ht="42.75" customHeight="1">
      <c r="A6" s="18" t="s">
        <v>7</v>
      </c>
      <c r="B6" s="19"/>
      <c r="C6" s="20"/>
      <c r="D6" s="21" t="s">
        <v>8</v>
      </c>
      <c r="E6" s="22" t="s">
        <v>9</v>
      </c>
      <c r="F6" s="23"/>
      <c r="G6" s="23"/>
      <c r="H6" s="23"/>
      <c r="I6" s="23"/>
      <c r="J6" s="24"/>
      <c r="K6" s="24"/>
      <c r="L6" s="24"/>
    </row>
    <row r="7" ht="9.0" customHeight="1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</row>
    <row r="8">
      <c r="A8" s="27" t="s">
        <v>10</v>
      </c>
      <c r="B8" s="28"/>
      <c r="C8" s="29"/>
      <c r="D8" s="14">
        <v>13.0</v>
      </c>
      <c r="E8" s="30"/>
      <c r="F8" s="30"/>
      <c r="G8" s="30"/>
      <c r="H8" s="30"/>
      <c r="I8" s="30"/>
      <c r="J8" s="30"/>
      <c r="K8" s="30"/>
      <c r="L8" s="29"/>
    </row>
    <row r="9" ht="7.5" customHeight="1">
      <c r="A9" s="31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>
      <c r="A10" s="32" t="s">
        <v>11</v>
      </c>
      <c r="B10" s="28"/>
      <c r="C10" s="33" t="s">
        <v>12</v>
      </c>
      <c r="D10" s="34">
        <f>C27-D29</f>
        <v>72670</v>
      </c>
      <c r="E10" s="35"/>
      <c r="F10" s="35"/>
      <c r="G10" s="36"/>
      <c r="H10" s="36"/>
      <c r="I10" s="36"/>
      <c r="J10" s="35"/>
      <c r="K10" s="35"/>
      <c r="L10" s="37"/>
    </row>
    <row r="11">
      <c r="A11" s="25"/>
      <c r="B11" s="38"/>
      <c r="C11" s="38"/>
      <c r="D11" s="38"/>
      <c r="E11" s="38"/>
      <c r="F11" s="38"/>
      <c r="G11" s="39"/>
      <c r="H11" s="38"/>
      <c r="I11" s="38"/>
      <c r="J11" s="38"/>
      <c r="K11" s="38"/>
      <c r="L11" s="38"/>
    </row>
    <row r="12">
      <c r="A12" s="40" t="s">
        <v>13</v>
      </c>
      <c r="B12" s="40" t="s">
        <v>14</v>
      </c>
      <c r="C12" s="41" t="s">
        <v>15</v>
      </c>
      <c r="D12" s="41" t="s">
        <v>16</v>
      </c>
      <c r="E12" s="42" t="s">
        <v>17</v>
      </c>
      <c r="F12" s="43"/>
      <c r="G12" s="44"/>
      <c r="H12" s="45" t="s">
        <v>18</v>
      </c>
      <c r="I12" s="43"/>
      <c r="J12" s="43"/>
      <c r="K12" s="43"/>
      <c r="L12" s="44"/>
    </row>
    <row r="13">
      <c r="A13" s="46">
        <f t="shared" ref="A13:A25" si="1">ROW()-12
</f>
        <v>1</v>
      </c>
      <c r="B13" s="47">
        <v>46051.0</v>
      </c>
      <c r="C13" s="48">
        <v>3870.0</v>
      </c>
      <c r="D13" s="49" t="s">
        <v>19</v>
      </c>
      <c r="E13" s="49" t="s">
        <v>20</v>
      </c>
      <c r="F13" s="50"/>
      <c r="G13" s="50"/>
      <c r="H13" s="49" t="s">
        <v>21</v>
      </c>
      <c r="I13" s="50"/>
      <c r="J13" s="50"/>
      <c r="K13" s="50"/>
      <c r="L13" s="51"/>
    </row>
    <row r="14">
      <c r="A14" s="52">
        <f t="shared" si="1"/>
        <v>2</v>
      </c>
      <c r="B14" s="47">
        <v>46056.0</v>
      </c>
      <c r="C14" s="48">
        <v>3870.0</v>
      </c>
      <c r="D14" s="49" t="s">
        <v>19</v>
      </c>
      <c r="E14" s="49" t="s">
        <v>20</v>
      </c>
      <c r="F14" s="53"/>
      <c r="G14" s="53"/>
      <c r="H14" s="49" t="s">
        <v>22</v>
      </c>
      <c r="I14" s="53"/>
      <c r="J14" s="53"/>
      <c r="K14" s="53"/>
      <c r="L14" s="54"/>
    </row>
    <row r="15">
      <c r="A15" s="55">
        <f t="shared" si="1"/>
        <v>3</v>
      </c>
      <c r="B15" s="47">
        <v>46058.0</v>
      </c>
      <c r="C15" s="48">
        <v>6590.0</v>
      </c>
      <c r="D15" s="49" t="s">
        <v>19</v>
      </c>
      <c r="E15" s="49" t="s">
        <v>23</v>
      </c>
      <c r="F15" s="50"/>
      <c r="G15" s="50"/>
      <c r="H15" s="49" t="s">
        <v>24</v>
      </c>
      <c r="I15" s="50"/>
      <c r="J15" s="50"/>
      <c r="K15" s="50"/>
      <c r="L15" s="51"/>
    </row>
    <row r="16">
      <c r="A16" s="55">
        <f t="shared" si="1"/>
        <v>4</v>
      </c>
      <c r="B16" s="47">
        <v>46060.0</v>
      </c>
      <c r="C16" s="48">
        <v>6590.0</v>
      </c>
      <c r="D16" s="49" t="s">
        <v>19</v>
      </c>
      <c r="E16" s="49" t="s">
        <v>23</v>
      </c>
      <c r="F16" s="53"/>
      <c r="G16" s="53"/>
      <c r="H16" s="49" t="s">
        <v>25</v>
      </c>
      <c r="I16" s="53"/>
      <c r="J16" s="53"/>
      <c r="K16" s="53"/>
      <c r="L16" s="54"/>
    </row>
    <row r="17">
      <c r="A17" s="55">
        <f t="shared" si="1"/>
        <v>5</v>
      </c>
      <c r="B17" s="47">
        <v>46055.0</v>
      </c>
      <c r="C17" s="48">
        <v>6590.0</v>
      </c>
      <c r="D17" s="49" t="s">
        <v>19</v>
      </c>
      <c r="E17" s="49" t="s">
        <v>26</v>
      </c>
      <c r="F17" s="50"/>
      <c r="G17" s="50"/>
      <c r="H17" s="49" t="s">
        <v>24</v>
      </c>
      <c r="I17" s="50"/>
      <c r="J17" s="50"/>
      <c r="K17" s="50"/>
      <c r="L17" s="51"/>
    </row>
    <row r="18">
      <c r="A18" s="55">
        <f t="shared" si="1"/>
        <v>6</v>
      </c>
      <c r="B18" s="47">
        <v>46065.0</v>
      </c>
      <c r="C18" s="48">
        <v>3000.0</v>
      </c>
      <c r="D18" s="49" t="s">
        <v>27</v>
      </c>
      <c r="E18" s="49" t="s">
        <v>28</v>
      </c>
      <c r="F18" s="50"/>
      <c r="G18" s="50"/>
      <c r="H18" s="49"/>
      <c r="I18" s="50"/>
      <c r="J18" s="50"/>
      <c r="K18" s="50"/>
      <c r="L18" s="51"/>
    </row>
    <row r="19">
      <c r="A19" s="55">
        <f t="shared" si="1"/>
        <v>7</v>
      </c>
      <c r="B19" s="47">
        <v>46066.0</v>
      </c>
      <c r="C19" s="48">
        <v>6590.0</v>
      </c>
      <c r="D19" s="49" t="s">
        <v>19</v>
      </c>
      <c r="E19" s="49" t="s">
        <v>26</v>
      </c>
      <c r="F19" s="50"/>
      <c r="G19" s="50"/>
      <c r="H19" s="49" t="s">
        <v>25</v>
      </c>
      <c r="I19" s="50"/>
      <c r="J19" s="50"/>
      <c r="K19" s="50"/>
      <c r="L19" s="51"/>
    </row>
    <row r="20">
      <c r="A20" s="55">
        <f t="shared" si="1"/>
        <v>8</v>
      </c>
      <c r="B20" s="47">
        <v>46058.0</v>
      </c>
      <c r="C20" s="48">
        <v>6390.0</v>
      </c>
      <c r="D20" s="49" t="s">
        <v>19</v>
      </c>
      <c r="E20" s="49" t="s">
        <v>29</v>
      </c>
      <c r="F20" s="50"/>
      <c r="G20" s="50"/>
      <c r="H20" s="49" t="s">
        <v>24</v>
      </c>
      <c r="I20" s="50"/>
      <c r="J20" s="50"/>
      <c r="K20" s="50"/>
      <c r="L20" s="51"/>
    </row>
    <row r="21">
      <c r="A21" s="55">
        <f t="shared" si="1"/>
        <v>9</v>
      </c>
      <c r="B21" s="47">
        <v>46070.0</v>
      </c>
      <c r="C21" s="48">
        <v>6390.0</v>
      </c>
      <c r="D21" s="49" t="s">
        <v>19</v>
      </c>
      <c r="E21" s="49" t="s">
        <v>29</v>
      </c>
      <c r="F21" s="50"/>
      <c r="G21" s="50"/>
      <c r="H21" s="49" t="s">
        <v>25</v>
      </c>
      <c r="I21" s="50"/>
      <c r="J21" s="50"/>
      <c r="K21" s="50"/>
      <c r="L21" s="51"/>
    </row>
    <row r="22">
      <c r="A22" s="55">
        <f t="shared" si="1"/>
        <v>10</v>
      </c>
      <c r="B22" s="47">
        <v>46073.0</v>
      </c>
      <c r="C22" s="48">
        <v>3870.0</v>
      </c>
      <c r="D22" s="49" t="s">
        <v>19</v>
      </c>
      <c r="E22" s="49" t="s">
        <v>30</v>
      </c>
      <c r="F22" s="50"/>
      <c r="G22" s="50"/>
      <c r="H22" s="49" t="s">
        <v>21</v>
      </c>
      <c r="I22" s="50"/>
      <c r="J22" s="50"/>
      <c r="K22" s="50"/>
      <c r="L22" s="51"/>
    </row>
    <row r="23">
      <c r="A23" s="55">
        <f t="shared" si="1"/>
        <v>11</v>
      </c>
      <c r="B23" s="56">
        <v>46077.0</v>
      </c>
      <c r="C23" s="48">
        <v>3870.0</v>
      </c>
      <c r="D23" s="49" t="s">
        <v>19</v>
      </c>
      <c r="E23" s="49" t="s">
        <v>30</v>
      </c>
      <c r="F23" s="50"/>
      <c r="G23" s="50"/>
      <c r="H23" s="49" t="s">
        <v>22</v>
      </c>
      <c r="I23" s="50"/>
      <c r="J23" s="50"/>
      <c r="K23" s="50"/>
      <c r="L23" s="51"/>
    </row>
    <row r="24">
      <c r="A24" s="55">
        <f t="shared" si="1"/>
        <v>12</v>
      </c>
      <c r="B24" s="47">
        <v>46073.0</v>
      </c>
      <c r="C24" s="48">
        <v>6390.0</v>
      </c>
      <c r="D24" s="49" t="s">
        <v>19</v>
      </c>
      <c r="E24" s="49" t="s">
        <v>31</v>
      </c>
      <c r="F24" s="50"/>
      <c r="G24" s="50"/>
      <c r="H24" s="49" t="s">
        <v>24</v>
      </c>
      <c r="I24" s="50"/>
      <c r="J24" s="50"/>
      <c r="K24" s="50"/>
      <c r="L24" s="51"/>
    </row>
    <row r="25">
      <c r="A25" s="55">
        <f t="shared" si="1"/>
        <v>13</v>
      </c>
      <c r="B25" s="47">
        <v>46079.0</v>
      </c>
      <c r="C25" s="48">
        <v>8660.0</v>
      </c>
      <c r="D25" s="49" t="s">
        <v>19</v>
      </c>
      <c r="E25" s="49" t="s">
        <v>31</v>
      </c>
      <c r="F25" s="50"/>
      <c r="G25" s="50"/>
      <c r="H25" s="49" t="s">
        <v>25</v>
      </c>
      <c r="I25" s="50"/>
      <c r="J25" s="50"/>
      <c r="K25" s="50"/>
      <c r="L25" s="51"/>
    </row>
    <row r="27">
      <c r="A27" s="57" t="s">
        <v>32</v>
      </c>
      <c r="B27" s="58"/>
      <c r="C27" s="59">
        <f>SUm(C13:C26)</f>
        <v>72670</v>
      </c>
      <c r="D27" s="60"/>
      <c r="E27" s="61"/>
      <c r="F27" s="61"/>
      <c r="G27" s="61"/>
      <c r="H27" s="61"/>
      <c r="I27" s="61"/>
      <c r="J27" s="61"/>
      <c r="K27" s="61"/>
      <c r="L27" s="62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</row>
    <row r="29">
      <c r="A29" s="64" t="s">
        <v>33</v>
      </c>
      <c r="B29" s="65"/>
      <c r="C29" s="66"/>
      <c r="D29" s="67">
        <v>0.0</v>
      </c>
      <c r="E29" s="68"/>
      <c r="F29" s="65"/>
      <c r="G29" s="65"/>
      <c r="H29" s="65"/>
      <c r="I29" s="65"/>
      <c r="J29" s="69"/>
      <c r="K29" s="69"/>
      <c r="L29" s="70"/>
    </row>
    <row r="30">
      <c r="A30" s="27" t="s">
        <v>34</v>
      </c>
      <c r="B30" s="68"/>
      <c r="C30" s="71"/>
      <c r="D30" s="72"/>
      <c r="E30" s="68"/>
      <c r="F30" s="68"/>
      <c r="G30" s="68"/>
      <c r="H30" s="68"/>
      <c r="I30" s="68"/>
      <c r="J30" s="60"/>
      <c r="K30" s="60"/>
      <c r="L30" s="58"/>
    </row>
  </sheetData>
  <dataValidations>
    <dataValidation type="list" allowBlank="1" showErrorMessage="1" sqref="D13:D25">
      <formula1>"旅費,交通費,宿泊費"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6.63"/>
    <col customWidth="1" min="3" max="3" width="8.63"/>
    <col customWidth="1" min="4" max="4" width="1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</row>
    <row r="2">
      <c r="A2" s="3" t="s">
        <v>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6" t="s">
        <v>1</v>
      </c>
      <c r="C4" s="7"/>
      <c r="D4" s="8">
        <v>46083.0</v>
      </c>
      <c r="E4" s="9"/>
      <c r="F4" s="9"/>
      <c r="G4" s="9"/>
      <c r="H4" s="9"/>
      <c r="I4" s="9"/>
      <c r="J4" s="73" t="s">
        <v>2</v>
      </c>
      <c r="K4" s="73" t="s">
        <v>3</v>
      </c>
      <c r="L4" s="73" t="s">
        <v>4</v>
      </c>
    </row>
    <row r="5">
      <c r="A5" s="11" t="s">
        <v>5</v>
      </c>
      <c r="B5" s="12"/>
      <c r="C5" s="13"/>
      <c r="D5" s="14" t="s">
        <v>6</v>
      </c>
      <c r="E5" s="15"/>
      <c r="F5" s="15"/>
      <c r="G5" s="15"/>
      <c r="H5" s="15"/>
      <c r="I5" s="15"/>
      <c r="J5" s="74"/>
      <c r="K5" s="74"/>
      <c r="L5" s="74"/>
    </row>
    <row r="6" ht="42.75" customHeight="1">
      <c r="A6" s="75" t="s">
        <v>7</v>
      </c>
      <c r="B6" s="76"/>
      <c r="C6" s="77"/>
      <c r="D6" s="78" t="s">
        <v>8</v>
      </c>
      <c r="E6" s="79" t="s">
        <v>9</v>
      </c>
      <c r="F6" s="30"/>
      <c r="G6" s="30"/>
      <c r="H6" s="30"/>
      <c r="I6" s="30"/>
      <c r="J6" s="80"/>
      <c r="K6" s="24"/>
      <c r="L6" s="24"/>
    </row>
    <row r="7" ht="9.0" customHeight="1">
      <c r="A7" s="25"/>
      <c r="B7" s="25"/>
      <c r="C7" s="26"/>
      <c r="D7" s="26"/>
      <c r="E7" s="26"/>
      <c r="F7" s="26"/>
      <c r="G7" s="26"/>
      <c r="H7" s="26"/>
      <c r="I7" s="81"/>
      <c r="J7" s="81"/>
      <c r="K7" s="26"/>
      <c r="L7" s="26"/>
    </row>
    <row r="8">
      <c r="A8" s="27" t="s">
        <v>10</v>
      </c>
      <c r="B8" s="28"/>
      <c r="C8" s="29"/>
      <c r="D8" s="14">
        <v>1.0</v>
      </c>
      <c r="E8" s="30"/>
      <c r="F8" s="30"/>
      <c r="G8" s="30"/>
      <c r="H8" s="30"/>
      <c r="I8" s="12"/>
      <c r="J8" s="30"/>
      <c r="K8" s="30"/>
      <c r="L8" s="29"/>
    </row>
    <row r="9" ht="7.5" customHeight="1">
      <c r="A9" s="31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>
      <c r="A10" s="32" t="s">
        <v>11</v>
      </c>
      <c r="B10" s="28"/>
      <c r="C10" s="33" t="s">
        <v>12</v>
      </c>
      <c r="D10" s="34">
        <f>C21-D23</f>
        <v>90800</v>
      </c>
      <c r="E10" s="35"/>
      <c r="F10" s="35"/>
      <c r="G10" s="36"/>
      <c r="H10" s="36"/>
      <c r="I10" s="36"/>
      <c r="J10" s="35"/>
      <c r="K10" s="35"/>
      <c r="L10" s="37"/>
    </row>
    <row r="11">
      <c r="A11" s="25"/>
      <c r="B11" s="38"/>
      <c r="C11" s="38"/>
      <c r="D11" s="38"/>
      <c r="E11" s="38"/>
      <c r="F11" s="38"/>
      <c r="G11" s="39"/>
      <c r="H11" s="38"/>
      <c r="I11" s="38"/>
      <c r="J11" s="38"/>
      <c r="K11" s="38"/>
      <c r="L11" s="38"/>
    </row>
    <row r="12">
      <c r="A12" s="40" t="s">
        <v>13</v>
      </c>
      <c r="B12" s="40" t="s">
        <v>14</v>
      </c>
      <c r="C12" s="41" t="s">
        <v>15</v>
      </c>
      <c r="D12" s="41" t="s">
        <v>36</v>
      </c>
      <c r="E12" s="45" t="s">
        <v>37</v>
      </c>
      <c r="F12" s="43"/>
      <c r="G12" s="43"/>
      <c r="H12" s="45"/>
      <c r="I12" s="43"/>
      <c r="J12" s="43"/>
      <c r="K12" s="43"/>
      <c r="L12" s="44"/>
    </row>
    <row r="13">
      <c r="A13" s="55">
        <f>ROW()-12
</f>
        <v>1</v>
      </c>
      <c r="B13" s="82">
        <v>46064.0</v>
      </c>
      <c r="C13" s="48">
        <v>90800.0</v>
      </c>
      <c r="D13" s="49" t="s">
        <v>38</v>
      </c>
      <c r="E13" s="49" t="s">
        <v>39</v>
      </c>
      <c r="F13" s="83"/>
      <c r="G13" s="83"/>
      <c r="H13" s="49"/>
      <c r="I13" s="83"/>
      <c r="J13" s="83"/>
      <c r="K13" s="83"/>
      <c r="L13" s="84"/>
    </row>
    <row r="14">
      <c r="A14" s="52"/>
      <c r="B14" s="82"/>
      <c r="C14" s="48"/>
      <c r="D14" s="49"/>
      <c r="E14" s="49"/>
      <c r="F14" s="49"/>
      <c r="G14" s="49"/>
      <c r="H14" s="49"/>
      <c r="I14" s="83"/>
      <c r="J14" s="83"/>
      <c r="K14" s="83"/>
      <c r="L14" s="84"/>
    </row>
    <row r="15">
      <c r="A15" s="52"/>
      <c r="B15" s="82"/>
      <c r="C15" s="85"/>
      <c r="D15" s="86"/>
      <c r="E15" s="49"/>
      <c r="F15" s="50"/>
      <c r="G15" s="50"/>
      <c r="H15" s="50"/>
      <c r="I15" s="50"/>
      <c r="J15" s="50"/>
      <c r="K15" s="50"/>
      <c r="L15" s="51"/>
    </row>
    <row r="16">
      <c r="A16" s="52"/>
      <c r="B16" s="82"/>
      <c r="C16" s="48"/>
      <c r="D16" s="86"/>
      <c r="E16" s="49"/>
      <c r="F16" s="50"/>
      <c r="G16" s="50"/>
      <c r="H16" s="50"/>
      <c r="I16" s="50"/>
      <c r="J16" s="50"/>
      <c r="K16" s="50"/>
      <c r="L16" s="51"/>
    </row>
    <row r="17">
      <c r="A17" s="52"/>
      <c r="B17" s="82"/>
      <c r="C17" s="85"/>
      <c r="D17" s="49"/>
      <c r="E17" s="49"/>
      <c r="F17" s="50"/>
      <c r="G17" s="50"/>
      <c r="H17" s="50"/>
      <c r="I17" s="50"/>
      <c r="J17" s="50"/>
      <c r="K17" s="50"/>
      <c r="L17" s="51"/>
    </row>
    <row r="18">
      <c r="A18" s="55"/>
      <c r="B18" s="87"/>
      <c r="C18" s="88"/>
      <c r="D18" s="89"/>
      <c r="E18" s="83"/>
      <c r="F18" s="50"/>
      <c r="G18" s="50"/>
      <c r="H18" s="50"/>
      <c r="I18" s="50"/>
      <c r="J18" s="50"/>
      <c r="K18" s="50"/>
      <c r="L18" s="51"/>
    </row>
    <row r="19">
      <c r="A19" s="90"/>
      <c r="B19" s="87"/>
      <c r="C19" s="87"/>
      <c r="D19" s="89"/>
      <c r="E19" s="50"/>
      <c r="F19" s="50"/>
      <c r="G19" s="50"/>
      <c r="H19" s="50"/>
      <c r="I19" s="50"/>
      <c r="J19" s="50"/>
      <c r="K19" s="50"/>
      <c r="L19" s="51"/>
    </row>
    <row r="20">
      <c r="A20" s="91"/>
      <c r="B20" s="92"/>
      <c r="C20" s="92"/>
      <c r="D20" s="93"/>
      <c r="E20" s="94"/>
      <c r="F20" s="94"/>
      <c r="G20" s="94"/>
      <c r="H20" s="94"/>
      <c r="I20" s="94"/>
      <c r="J20" s="94"/>
      <c r="K20" s="94"/>
      <c r="L20" s="95"/>
    </row>
    <row r="21">
      <c r="A21" s="57" t="s">
        <v>32</v>
      </c>
      <c r="B21" s="58"/>
      <c r="C21" s="59">
        <f>SUm(C13:C19)</f>
        <v>90800</v>
      </c>
      <c r="D21" s="60"/>
      <c r="E21" s="61"/>
      <c r="F21" s="61"/>
      <c r="G21" s="61"/>
      <c r="H21" s="61"/>
      <c r="I21" s="61"/>
      <c r="J21" s="61"/>
      <c r="K21" s="61"/>
      <c r="L21" s="62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</row>
    <row r="23">
      <c r="A23" s="96" t="s">
        <v>33</v>
      </c>
      <c r="B23" s="65"/>
      <c r="C23" s="66"/>
      <c r="D23" s="67">
        <v>0.0</v>
      </c>
      <c r="E23" s="68"/>
      <c r="F23" s="65"/>
      <c r="G23" s="65"/>
      <c r="H23" s="65"/>
      <c r="I23" s="65"/>
      <c r="J23" s="69"/>
      <c r="K23" s="69"/>
      <c r="L23" s="70"/>
    </row>
    <row r="24">
      <c r="A24" s="27" t="s">
        <v>34</v>
      </c>
      <c r="B24" s="68"/>
      <c r="C24" s="71"/>
      <c r="D24" s="72"/>
      <c r="E24" s="68"/>
      <c r="F24" s="68"/>
      <c r="G24" s="68"/>
      <c r="H24" s="68"/>
      <c r="I24" s="68"/>
      <c r="J24" s="60"/>
      <c r="K24" s="60"/>
      <c r="L24" s="58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